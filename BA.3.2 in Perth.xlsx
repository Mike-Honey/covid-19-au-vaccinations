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vid-19-au-vaccinations\"/>
    </mc:Choice>
  </mc:AlternateContent>
  <xr:revisionPtr revIDLastSave="0" documentId="13_ncr:1_{1383B7C2-0DFA-49F4-B019-DED27112A95D}" xr6:coauthVersionLast="47" xr6:coauthVersionMax="47" xr10:uidLastSave="{00000000-0000-0000-0000-000000000000}"/>
  <bookViews>
    <workbookView xWindow="-98" yWindow="-98" windowWidth="21795" windowHeight="13875" xr2:uid="{D6ABF66D-C054-46A7-9305-0C358A93B849}"/>
  </bookViews>
  <sheets>
    <sheet name="Perth BA.3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8" i="1" s="1"/>
  <c r="B19" i="1" s="1"/>
  <c r="B20" i="1" s="1"/>
  <c r="D17" i="1"/>
  <c r="E17" i="1" s="1"/>
  <c r="F17" i="1" s="1"/>
  <c r="G17" i="1" s="1"/>
  <c r="I17" i="1" s="1"/>
  <c r="D18" i="1"/>
  <c r="E18" i="1" s="1"/>
  <c r="F18" i="1" s="1"/>
  <c r="G18" i="1" s="1"/>
  <c r="I18" i="1" s="1"/>
  <c r="D20" i="1"/>
  <c r="E20" i="1" s="1"/>
  <c r="F20" i="1" s="1"/>
  <c r="G20" i="1" s="1"/>
  <c r="I20" i="1" s="1"/>
  <c r="D19" i="1"/>
  <c r="E19" i="1" s="1"/>
  <c r="F19" i="1" s="1"/>
  <c r="G19" i="1" s="1"/>
  <c r="I19" i="1" s="1"/>
  <c r="D16" i="1"/>
  <c r="E16" i="1" s="1"/>
  <c r="F16" i="1" s="1"/>
  <c r="G16" i="1" s="1"/>
  <c r="I16" i="1" s="1"/>
  <c r="D30" i="1" l="1"/>
  <c r="E30" i="1" s="1"/>
  <c r="F30" i="1" s="1"/>
  <c r="H30" i="1" s="1"/>
  <c r="D29" i="1"/>
  <c r="E29" i="1" s="1"/>
  <c r="F29" i="1" s="1"/>
  <c r="H29" i="1" s="1"/>
  <c r="B29" i="1"/>
  <c r="D28" i="1"/>
  <c r="E28" i="1" s="1"/>
  <c r="F28" i="1" s="1"/>
  <c r="H28" i="1" s="1"/>
  <c r="D27" i="1"/>
  <c r="E27" i="1" s="1"/>
  <c r="F27" i="1" s="1"/>
  <c r="H27" i="1" s="1"/>
  <c r="H31" i="1" s="1"/>
  <c r="D15" i="1"/>
  <c r="E15" i="1" s="1"/>
  <c r="F15" i="1" s="1"/>
  <c r="G15" i="1" s="1"/>
  <c r="I15" i="1" s="1"/>
  <c r="D14" i="1"/>
  <c r="E14" i="1" s="1"/>
  <c r="F14" i="1" s="1"/>
  <c r="G14" i="1" s="1"/>
  <c r="I14" i="1" s="1"/>
  <c r="D13" i="1"/>
  <c r="E13" i="1" s="1"/>
  <c r="F13" i="1" s="1"/>
  <c r="G13" i="1" s="1"/>
  <c r="I13" i="1" s="1"/>
  <c r="D12" i="1"/>
  <c r="E12" i="1" s="1"/>
  <c r="F12" i="1" s="1"/>
  <c r="G12" i="1" s="1"/>
  <c r="D11" i="1"/>
  <c r="E11" i="1" s="1"/>
  <c r="F11" i="1" s="1"/>
  <c r="G11" i="1" s="1"/>
  <c r="H10" i="1"/>
  <c r="H11" i="1" s="1"/>
  <c r="D10" i="1"/>
  <c r="E10" i="1" s="1"/>
  <c r="F10" i="1" s="1"/>
  <c r="G10" i="1" s="1"/>
  <c r="D9" i="1"/>
  <c r="E9" i="1" s="1"/>
  <c r="F9" i="1" s="1"/>
  <c r="G9" i="1" s="1"/>
  <c r="I9" i="1" s="1"/>
  <c r="D8" i="1"/>
  <c r="E8" i="1" s="1"/>
  <c r="F8" i="1" s="1"/>
  <c r="G8" i="1" s="1"/>
  <c r="I8" i="1" s="1"/>
  <c r="D7" i="1"/>
  <c r="E7" i="1" s="1"/>
  <c r="F7" i="1" s="1"/>
  <c r="G7" i="1" s="1"/>
  <c r="I7" i="1" s="1"/>
  <c r="D6" i="1"/>
  <c r="E6" i="1" s="1"/>
  <c r="F6" i="1" s="1"/>
  <c r="G6" i="1" s="1"/>
  <c r="I6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D5" i="1"/>
  <c r="E5" i="1" s="1"/>
  <c r="F5" i="1" s="1"/>
  <c r="G5" i="1" s="1"/>
  <c r="I5" i="1" s="1"/>
  <c r="I10" i="1" l="1"/>
  <c r="H12" i="1"/>
  <c r="I12" i="1" s="1"/>
  <c r="I11" i="1"/>
  <c r="I21" i="1" l="1"/>
</calcChain>
</file>

<file path=xl/sharedStrings.xml><?xml version="1.0" encoding="utf-8"?>
<sst xmlns="http://schemas.openxmlformats.org/spreadsheetml/2006/main" count="19" uniqueCount="13">
  <si>
    <t>Perth BA.3.2 infections estimate v2</t>
  </si>
  <si>
    <t>Week ending</t>
  </si>
  <si>
    <t>wastewater concentration</t>
  </si>
  <si>
    <t>daily cases/100K, wrt wastewater</t>
  </si>
  <si>
    <t>weekly cases/100K</t>
  </si>
  <si>
    <t>weekly cases, scaled to Perth</t>
  </si>
  <si>
    <t>x 2 for underreporting</t>
  </si>
  <si>
    <t>BA.3.2 frequency</t>
  </si>
  <si>
    <t>Estimated BA.3.2 infections per week</t>
  </si>
  <si>
    <t>Total</t>
  </si>
  <si>
    <t>Perth BA.3.2 infections estimate v1</t>
  </si>
  <si>
    <t>x 5 for underreporting</t>
  </si>
  <si>
    <t>BA.3.2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</si>
</sst>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6">
    <xf numFmtId="0" fontId="0" fillId="0" borderId="0" xfId="0"/>
    <xf numFmtId="0" fontId="2" fillId="0" borderId="1" xfId="2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5" fontId="0" fillId="0" borderId="0" xfId="0" applyNumberFormat="1"/>
    <xf numFmtId="4" fontId="0" fillId="0" borderId="0" xfId="0" applyNumberFormat="1"/>
    <xf numFmtId="164" fontId="0" fillId="0" borderId="0" xfId="1" applyNumberFormat="1" applyFont="1" applyBorder="1"/>
    <xf numFmtId="165" fontId="0" fillId="0" borderId="0" xfId="1" applyNumberFormat="1" applyFont="1"/>
    <xf numFmtId="166" fontId="0" fillId="0" borderId="0" xfId="0" applyNumberFormat="1"/>
    <xf numFmtId="165" fontId="3" fillId="0" borderId="0" xfId="1" applyNumberFormat="1" applyFont="1"/>
    <xf numFmtId="165" fontId="0" fillId="0" borderId="0" xfId="1" applyNumberFormat="1" applyFont="1" applyBorder="1"/>
    <xf numFmtId="166" fontId="4" fillId="0" borderId="0" xfId="0" applyNumberFormat="1" applyFont="1"/>
    <xf numFmtId="165" fontId="3" fillId="0" borderId="2" xfId="0" applyNumberFormat="1" applyFont="1" applyBorder="1"/>
    <xf numFmtId="164" fontId="0" fillId="0" borderId="0" xfId="1" applyNumberFormat="1" applyFont="1"/>
    <xf numFmtId="9" fontId="0" fillId="0" borderId="0" xfId="0" applyNumberFormat="1"/>
    <xf numFmtId="166" fontId="0" fillId="0" borderId="0" xfId="0" applyNumberFormat="1" applyFont="1"/>
  </cellXfs>
  <cellStyles count="3">
    <cellStyle name="Comma" xfId="1" builtinId="3"/>
    <cellStyle name="Heading 1" xfId="2" builtinId="16"/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165" formatCode="_-* #,##0_-;\-* #,##0_-;_-* &quot;-&quot;??_-;_-@_-"/>
    </dxf>
    <dxf>
      <font>
        <b/>
      </font>
      <numFmt numFmtId="165" formatCode="_-* #,##0_-;\-* #,##0_-;_-* &quot;-&quot;??_-;_-@_-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_-;\-* #,##0.0_-;_-* &quot;-&quot;??_-;_-@_-"/>
    </dxf>
    <dxf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vertical="bottom" textRotation="0" wrapText="1" indent="0" justifyLastLine="0" shrinkToFit="0" readingOrder="0"/>
    </dxf>
    <dxf>
      <font>
        <b/>
      </font>
      <numFmt numFmtId="165" formatCode="_-* #,##0_-;\-* #,##0_-;_-* &quot;-&quot;??_-;_-@_-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_-;\-* #,##0.0_-;_-* &quot;-&quot;??_-;_-@_-"/>
    </dxf>
    <dxf>
      <numFmt numFmtId="20" formatCode="d\-mmm\-yy"/>
    </dxf>
    <dxf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3E3CE-FA02-4556-8040-5D2F8699E36E}" name="Table6" displayName="Table6" ref="B4:I21" totalsRowCount="1" headerRowDxfId="20" dataDxfId="19" dataCellStyle="Comma">
  <autoFilter ref="B4:I20" xr:uid="{56B9C249-D174-4D34-958F-E7F0C75BFA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B1C504D-15CE-4FF1-9C3E-A9BFA20C0F15}" name="Week ending" totalsRowLabel="Total" dataDxfId="18"/>
    <tableColumn id="9" xr3:uid="{6BBAAE83-1325-41E7-963D-4C4C7CE755A6}" name="wastewater concentration" dataDxfId="17"/>
    <tableColumn id="2" xr3:uid="{7631BBE6-B2C8-4527-8319-F1D2A7C980FE}" name="daily cases/100K, wrt wastewater" dataDxfId="16" dataCellStyle="Comma">
      <calculatedColumnFormula>Table6[[#This Row],[wastewater concentration]]/30000*200</calculatedColumnFormula>
    </tableColumn>
    <tableColumn id="3" xr3:uid="{3A1BB2D2-4436-41EF-A1F6-73CB00E640DF}" name="weekly cases/100K" dataDxfId="15" dataCellStyle="Comma">
      <calculatedColumnFormula>D5*7</calculatedColumnFormula>
    </tableColumn>
    <tableColumn id="4" xr3:uid="{6B3657BB-D59B-4AA5-B12D-0950B0AD4265}" name="weekly cases, scaled to Perth" dataDxfId="14" dataCellStyle="Comma">
      <calculatedColumnFormula>E5*23</calculatedColumnFormula>
    </tableColumn>
    <tableColumn id="5" xr3:uid="{616A1B4C-E950-44C7-AC73-DDA917A99032}" name="x 2 for underreporting" dataDxfId="13" dataCellStyle="Comma">
      <calculatedColumnFormula>F5*2</calculatedColumnFormula>
    </tableColumn>
    <tableColumn id="6" xr3:uid="{CBFFCEC6-5BC1-45E0-9BA3-E3E03BE2A941}" name="BA.3.2 frequency" dataDxfId="12"/>
    <tableColumn id="7" xr3:uid="{26AC957B-5CD4-472C-B25C-AFDA188BC375}" name="Estimated BA.3.2 infections per week" totalsRowFunction="sum" dataDxfId="11" totalsRowDxfId="0" dataCellStyle="Comma">
      <calculatedColumnFormula>G5*H5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966EE-7DBD-476F-8261-498909A07278}" name="Table69" displayName="Table69" ref="B26:H31" totalsRowCount="1" headerRowDxfId="10" dataDxfId="9" dataCellStyle="Comma">
  <autoFilter ref="B26:H30" xr:uid="{11DB7DCE-F291-4E24-93E5-E9C7A82877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C1ED70C-F107-4C51-A9FB-49DF8AE9CA0E}" name="Week ending" totalsRowLabel="Total" dataDxfId="8"/>
    <tableColumn id="2" xr3:uid="{606D29C1-443A-4927-97CD-BEAF119F05E3}" name="daily cases/100K, wrt wastewater" dataDxfId="7" dataCellStyle="Comma"/>
    <tableColumn id="3" xr3:uid="{DF64FF50-C799-451C-9207-7DE5DA9AF6AE}" name="weekly cases/100K" dataDxfId="6" dataCellStyle="Comma">
      <calculatedColumnFormula>C27*7</calculatedColumnFormula>
    </tableColumn>
    <tableColumn id="4" xr3:uid="{AD3B5F04-B52F-4AA8-AA93-699CB4BEDB33}" name="weekly cases, scaled to Perth" dataDxfId="5" dataCellStyle="Comma">
      <calculatedColumnFormula>D27*23</calculatedColumnFormula>
    </tableColumn>
    <tableColumn id="5" xr3:uid="{B262AE2F-356C-4D2D-A544-30BEDFB37F27}" name="x 5 for underreporting" dataDxfId="4" dataCellStyle="Comma">
      <calculatedColumnFormula>E27*5</calculatedColumnFormula>
    </tableColumn>
    <tableColumn id="6" xr3:uid="{DAACC682-3C2E-487A-A624-F38B2285E3A5}" name="BA.3.2 level" dataDxfId="3"/>
    <tableColumn id="7" xr3:uid="{79C0C0C5-FC32-4111-9E51-1D0C44467C6A}" name="Estimated BA.3.2 infections per week" totalsRowFunction="sum" dataDxfId="2" totalsRowDxfId="1" dataCellStyle="Comma">
      <calculatedColumnFormula>F27*G27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7412-816F-4ED0-A0A5-6F5C9A5C0540}">
  <sheetPr>
    <pageSetUpPr fitToPage="1"/>
  </sheetPr>
  <dimension ref="B2:I32"/>
  <sheetViews>
    <sheetView tabSelected="1" workbookViewId="0">
      <selection activeCell="H20" sqref="H20"/>
    </sheetView>
  </sheetViews>
  <sheetFormatPr defaultRowHeight="14.25" x14ac:dyDescent="0.45"/>
  <cols>
    <col min="2" max="2" width="13.33203125" customWidth="1"/>
    <col min="3" max="3" width="17.06640625" customWidth="1"/>
    <col min="4" max="4" width="18.19921875" customWidth="1"/>
    <col min="5" max="5" width="12.796875" customWidth="1"/>
    <col min="6" max="6" width="15.19921875" customWidth="1"/>
    <col min="7" max="7" width="15.9296875" customWidth="1"/>
    <col min="8" max="8" width="10.6640625" customWidth="1"/>
    <col min="9" max="9" width="14.796875" customWidth="1"/>
  </cols>
  <sheetData>
    <row r="2" spans="2:9" ht="19.899999999999999" thickBot="1" x14ac:dyDescent="0.65">
      <c r="B2" s="1" t="s">
        <v>0</v>
      </c>
      <c r="C2" s="1"/>
      <c r="D2" s="1"/>
    </row>
    <row r="3" spans="2:9" ht="14.65" thickTop="1" x14ac:dyDescent="0.45"/>
    <row r="4" spans="2:9" ht="42.75" x14ac:dyDescent="0.45">
      <c r="B4" s="2" t="s">
        <v>1</v>
      </c>
      <c r="C4" s="2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2:9" x14ac:dyDescent="0.45">
      <c r="B5" s="4">
        <v>45893</v>
      </c>
      <c r="C5" s="5">
        <v>2727.95</v>
      </c>
      <c r="D5" s="6">
        <f>Table6[[#This Row],[wastewater concentration]]/30000*200</f>
        <v>18.186333333333334</v>
      </c>
      <c r="E5" s="7">
        <f t="shared" ref="E5:E8" si="0">D5*7</f>
        <v>127.30433333333333</v>
      </c>
      <c r="F5" s="7">
        <f t="shared" ref="F5:F8" si="1">E5*23</f>
        <v>2927.9996666666666</v>
      </c>
      <c r="G5" s="7">
        <f t="shared" ref="G5:G15" si="2">F5*2</f>
        <v>5855.9993333333332</v>
      </c>
      <c r="H5" s="8">
        <v>0.14000000000000001</v>
      </c>
      <c r="I5" s="9">
        <f t="shared" ref="I5:I8" si="3">G5*H5</f>
        <v>819.83990666666671</v>
      </c>
    </row>
    <row r="6" spans="2:9" x14ac:dyDescent="0.45">
      <c r="B6" s="4">
        <f t="shared" ref="B6:B8" si="4">B5+7</f>
        <v>45900</v>
      </c>
      <c r="C6" s="5">
        <v>2972.1</v>
      </c>
      <c r="D6" s="6">
        <f>Table6[[#This Row],[wastewater concentration]]/30000*200</f>
        <v>19.814</v>
      </c>
      <c r="E6" s="7">
        <f t="shared" si="0"/>
        <v>138.69800000000001</v>
      </c>
      <c r="F6" s="7">
        <f t="shared" si="1"/>
        <v>3190.0540000000001</v>
      </c>
      <c r="G6" s="7">
        <f t="shared" si="2"/>
        <v>6380.1080000000002</v>
      </c>
      <c r="H6" s="8">
        <v>4.3999999999999997E-2</v>
      </c>
      <c r="I6" s="9">
        <f t="shared" si="3"/>
        <v>280.72475199999997</v>
      </c>
    </row>
    <row r="7" spans="2:9" x14ac:dyDescent="0.45">
      <c r="B7" s="4">
        <f t="shared" si="4"/>
        <v>45907</v>
      </c>
      <c r="C7" s="5">
        <v>2249.12</v>
      </c>
      <c r="D7" s="6">
        <f>Table6[[#This Row],[wastewater concentration]]/30000*200</f>
        <v>14.994133333333332</v>
      </c>
      <c r="E7" s="7">
        <f t="shared" si="0"/>
        <v>104.95893333333332</v>
      </c>
      <c r="F7" s="7">
        <f t="shared" si="1"/>
        <v>2414.0554666666662</v>
      </c>
      <c r="G7" s="7">
        <f t="shared" si="2"/>
        <v>4828.1109333333325</v>
      </c>
      <c r="H7" s="8">
        <v>3.2000000000000001E-2</v>
      </c>
      <c r="I7" s="9">
        <f t="shared" si="3"/>
        <v>154.49954986666665</v>
      </c>
    </row>
    <row r="8" spans="2:9" x14ac:dyDescent="0.45">
      <c r="B8" s="4">
        <f t="shared" si="4"/>
        <v>45914</v>
      </c>
      <c r="C8" s="5">
        <v>1909.78</v>
      </c>
      <c r="D8" s="6">
        <f>Table6[[#This Row],[wastewater concentration]]/30000*200</f>
        <v>12.731866666666667</v>
      </c>
      <c r="E8" s="7">
        <f t="shared" si="0"/>
        <v>89.123066666666674</v>
      </c>
      <c r="F8" s="7">
        <f t="shared" si="1"/>
        <v>2049.8305333333333</v>
      </c>
      <c r="G8" s="7">
        <f t="shared" si="2"/>
        <v>4099.6610666666666</v>
      </c>
      <c r="H8" s="8">
        <v>7.9000000000000001E-2</v>
      </c>
      <c r="I8" s="9">
        <f t="shared" si="3"/>
        <v>323.87322426666668</v>
      </c>
    </row>
    <row r="9" spans="2:9" x14ac:dyDescent="0.45">
      <c r="B9" s="4">
        <f>B8+7</f>
        <v>45921</v>
      </c>
      <c r="C9" s="5">
        <v>2593.7600000000002</v>
      </c>
      <c r="D9" s="6">
        <f>Table6[[#This Row],[wastewater concentration]]/30000*200</f>
        <v>17.291733333333333</v>
      </c>
      <c r="E9" s="10">
        <f>D9*7</f>
        <v>121.04213333333334</v>
      </c>
      <c r="F9" s="10">
        <f>E9*23</f>
        <v>2783.969066666667</v>
      </c>
      <c r="G9" s="10">
        <f t="shared" si="2"/>
        <v>5567.938133333334</v>
      </c>
      <c r="H9" s="8">
        <v>0.20200000000000001</v>
      </c>
      <c r="I9" s="9">
        <f>G9*H9</f>
        <v>1124.7235029333335</v>
      </c>
    </row>
    <row r="10" spans="2:9" x14ac:dyDescent="0.45">
      <c r="B10" s="4">
        <f t="shared" ref="B10:B20" si="5">B9+7</f>
        <v>45928</v>
      </c>
      <c r="C10" s="5">
        <v>1965.59</v>
      </c>
      <c r="D10" s="6">
        <f>Table6[[#This Row],[wastewater concentration]]/30000*200</f>
        <v>13.103933333333334</v>
      </c>
      <c r="E10" s="10">
        <f t="shared" ref="E10:E15" si="6">D10*7</f>
        <v>91.727533333333341</v>
      </c>
      <c r="F10" s="10">
        <f t="shared" ref="F10:F15" si="7">E10*23</f>
        <v>2109.7332666666666</v>
      </c>
      <c r="G10" s="10">
        <f t="shared" si="2"/>
        <v>4219.4665333333332</v>
      </c>
      <c r="H10" s="11">
        <f>AVERAGE(H9,H13)</f>
        <v>0.152</v>
      </c>
      <c r="I10" s="9">
        <f t="shared" ref="I10:I15" si="8">G10*H10</f>
        <v>641.35891306666667</v>
      </c>
    </row>
    <row r="11" spans="2:9" x14ac:dyDescent="0.45">
      <c r="B11" s="4">
        <f t="shared" si="5"/>
        <v>45935</v>
      </c>
      <c r="C11" s="5">
        <v>1101</v>
      </c>
      <c r="D11" s="6">
        <f>Table6[[#This Row],[wastewater concentration]]/30000*200</f>
        <v>7.3400000000000007</v>
      </c>
      <c r="E11" s="10">
        <f t="shared" si="6"/>
        <v>51.38</v>
      </c>
      <c r="F11" s="10">
        <f t="shared" si="7"/>
        <v>1181.74</v>
      </c>
      <c r="G11" s="10">
        <f t="shared" si="2"/>
        <v>2363.48</v>
      </c>
      <c r="H11" s="11">
        <f>H10</f>
        <v>0.152</v>
      </c>
      <c r="I11" s="9">
        <f t="shared" si="8"/>
        <v>359.24896000000001</v>
      </c>
    </row>
    <row r="12" spans="2:9" x14ac:dyDescent="0.45">
      <c r="B12" s="4">
        <f t="shared" si="5"/>
        <v>45942</v>
      </c>
      <c r="C12" s="5">
        <v>1472</v>
      </c>
      <c r="D12" s="6">
        <f>Table6[[#This Row],[wastewater concentration]]/30000*200</f>
        <v>9.8133333333333344</v>
      </c>
      <c r="E12" s="10">
        <f t="shared" si="6"/>
        <v>68.693333333333342</v>
      </c>
      <c r="F12" s="10">
        <f t="shared" si="7"/>
        <v>1579.9466666666669</v>
      </c>
      <c r="G12" s="10">
        <f t="shared" si="2"/>
        <v>3159.8933333333339</v>
      </c>
      <c r="H12" s="11">
        <f>H10</f>
        <v>0.152</v>
      </c>
      <c r="I12" s="9">
        <f t="shared" si="8"/>
        <v>480.30378666666672</v>
      </c>
    </row>
    <row r="13" spans="2:9" x14ac:dyDescent="0.45">
      <c r="B13" s="4">
        <f t="shared" si="5"/>
        <v>45949</v>
      </c>
      <c r="C13" s="5">
        <v>2001</v>
      </c>
      <c r="D13" s="6">
        <f>Table6[[#This Row],[wastewater concentration]]/30000*200</f>
        <v>13.34</v>
      </c>
      <c r="E13" s="10">
        <f t="shared" si="6"/>
        <v>93.38</v>
      </c>
      <c r="F13" s="10">
        <f t="shared" si="7"/>
        <v>2147.7399999999998</v>
      </c>
      <c r="G13" s="10">
        <f t="shared" si="2"/>
        <v>4295.4799999999996</v>
      </c>
      <c r="H13" s="8">
        <v>0.10199999999999999</v>
      </c>
      <c r="I13" s="9">
        <f t="shared" si="8"/>
        <v>438.13895999999994</v>
      </c>
    </row>
    <row r="14" spans="2:9" x14ac:dyDescent="0.45">
      <c r="B14" s="4">
        <f t="shared" si="5"/>
        <v>45956</v>
      </c>
      <c r="C14" s="5">
        <v>2639</v>
      </c>
      <c r="D14" s="6">
        <f>Table6[[#This Row],[wastewater concentration]]/30000*200</f>
        <v>17.593333333333334</v>
      </c>
      <c r="E14" s="10">
        <f t="shared" si="6"/>
        <v>123.15333333333334</v>
      </c>
      <c r="F14" s="10">
        <f t="shared" si="7"/>
        <v>2832.5266666666666</v>
      </c>
      <c r="G14" s="10">
        <f t="shared" si="2"/>
        <v>5665.0533333333333</v>
      </c>
      <c r="H14" s="8">
        <v>0</v>
      </c>
      <c r="I14" s="9">
        <f t="shared" si="8"/>
        <v>0</v>
      </c>
    </row>
    <row r="15" spans="2:9" x14ac:dyDescent="0.45">
      <c r="B15" s="4">
        <f t="shared" si="5"/>
        <v>45963</v>
      </c>
      <c r="C15" s="5">
        <v>2077</v>
      </c>
      <c r="D15" s="6">
        <f>Table6[[#This Row],[wastewater concentration]]/30000*200</f>
        <v>13.846666666666666</v>
      </c>
      <c r="E15" s="10">
        <f t="shared" si="6"/>
        <v>96.926666666666662</v>
      </c>
      <c r="F15" s="10">
        <f t="shared" si="7"/>
        <v>2229.313333333333</v>
      </c>
      <c r="G15" s="10">
        <f t="shared" si="2"/>
        <v>4458.6266666666661</v>
      </c>
      <c r="H15" s="8">
        <v>0.253</v>
      </c>
      <c r="I15" s="9">
        <f t="shared" si="8"/>
        <v>1128.0325466666666</v>
      </c>
    </row>
    <row r="16" spans="2:9" x14ac:dyDescent="0.45">
      <c r="B16" s="4">
        <f t="shared" si="5"/>
        <v>45970</v>
      </c>
      <c r="C16" s="5">
        <v>617</v>
      </c>
      <c r="D16" s="6">
        <f>Table6[[#This Row],[wastewater concentration]]/30000*200</f>
        <v>4.1133333333333333</v>
      </c>
      <c r="E16" s="10">
        <f t="shared" ref="E16" si="9">D16*7</f>
        <v>28.793333333333333</v>
      </c>
      <c r="F16" s="10">
        <f t="shared" ref="F16" si="10">E16*23</f>
        <v>662.24666666666667</v>
      </c>
      <c r="G16" s="10">
        <f t="shared" ref="G16" si="11">F16*2</f>
        <v>1324.4933333333333</v>
      </c>
      <c r="H16" s="11">
        <v>0.253</v>
      </c>
      <c r="I16" s="9">
        <f>G16*H16</f>
        <v>335.09681333333333</v>
      </c>
    </row>
    <row r="17" spans="2:9" x14ac:dyDescent="0.45">
      <c r="B17" s="4">
        <f t="shared" si="5"/>
        <v>45977</v>
      </c>
      <c r="C17" s="5">
        <v>77</v>
      </c>
      <c r="D17" s="6">
        <f>Table6[[#This Row],[wastewater concentration]]/30000*200</f>
        <v>0.51333333333333331</v>
      </c>
      <c r="E17" s="10">
        <f>D17*7</f>
        <v>3.5933333333333333</v>
      </c>
      <c r="F17" s="10">
        <f>E17*23</f>
        <v>82.646666666666661</v>
      </c>
      <c r="G17" s="10">
        <f>F17*2</f>
        <v>165.29333333333332</v>
      </c>
      <c r="H17" s="11">
        <v>0.253</v>
      </c>
      <c r="I17" s="9">
        <f>G17*H17</f>
        <v>41.81921333333333</v>
      </c>
    </row>
    <row r="18" spans="2:9" x14ac:dyDescent="0.45">
      <c r="B18" s="4">
        <f t="shared" si="5"/>
        <v>45984</v>
      </c>
      <c r="C18" s="5">
        <v>53</v>
      </c>
      <c r="D18" s="6">
        <f>Table6[[#This Row],[wastewater concentration]]/30000*200</f>
        <v>0.35333333333333333</v>
      </c>
      <c r="E18" s="10">
        <f>D18*7</f>
        <v>2.4733333333333332</v>
      </c>
      <c r="F18" s="10">
        <f>E18*23</f>
        <v>56.886666666666663</v>
      </c>
      <c r="G18" s="10">
        <f>F18*2</f>
        <v>113.77333333333333</v>
      </c>
      <c r="H18" s="11">
        <v>0.253</v>
      </c>
      <c r="I18" s="9">
        <f>G18*H18</f>
        <v>28.784653333333331</v>
      </c>
    </row>
    <row r="19" spans="2:9" x14ac:dyDescent="0.45">
      <c r="B19" s="4">
        <f t="shared" si="5"/>
        <v>45991</v>
      </c>
      <c r="C19" s="5">
        <v>356</v>
      </c>
      <c r="D19" s="6">
        <f>Table6[[#This Row],[wastewater concentration]]/30000*200</f>
        <v>2.3733333333333331</v>
      </c>
      <c r="E19" s="10">
        <f>D19*7</f>
        <v>16.61333333333333</v>
      </c>
      <c r="F19" s="10">
        <f>E19*23</f>
        <v>382.10666666666657</v>
      </c>
      <c r="G19" s="10">
        <f>F19*2</f>
        <v>764.21333333333314</v>
      </c>
      <c r="H19" s="15">
        <v>0</v>
      </c>
      <c r="I19" s="9">
        <f>G19*H19</f>
        <v>0</v>
      </c>
    </row>
    <row r="20" spans="2:9" x14ac:dyDescent="0.45">
      <c r="B20" s="4">
        <f t="shared" si="5"/>
        <v>45998</v>
      </c>
      <c r="C20" s="5">
        <v>656</v>
      </c>
      <c r="D20" s="6">
        <f>Table6[[#This Row],[wastewater concentration]]/30000*200</f>
        <v>4.3733333333333331</v>
      </c>
      <c r="E20" s="10">
        <f>D20*7</f>
        <v>30.61333333333333</v>
      </c>
      <c r="F20" s="10">
        <f>E20*23</f>
        <v>704.10666666666657</v>
      </c>
      <c r="G20" s="10">
        <f>F20*2</f>
        <v>1408.2133333333331</v>
      </c>
      <c r="H20" s="15">
        <v>0.189</v>
      </c>
      <c r="I20" s="9">
        <f>G20*H20</f>
        <v>266.15231999999997</v>
      </c>
    </row>
    <row r="21" spans="2:9" ht="14.65" thickBot="1" x14ac:dyDescent="0.5">
      <c r="B21" t="s">
        <v>9</v>
      </c>
      <c r="I21" s="12">
        <f>SUBTOTAL(109,Table6[Estimated BA.3.2 infections per week])</f>
        <v>6422.5971021333335</v>
      </c>
    </row>
    <row r="22" spans="2:9" ht="14.65" thickTop="1" x14ac:dyDescent="0.45"/>
    <row r="24" spans="2:9" ht="19.899999999999999" thickBot="1" x14ac:dyDescent="0.65">
      <c r="B24" s="1" t="s">
        <v>10</v>
      </c>
      <c r="C24" s="1"/>
      <c r="D24" s="1"/>
    </row>
    <row r="25" spans="2:9" ht="14.65" thickTop="1" x14ac:dyDescent="0.45"/>
    <row r="26" spans="2:9" ht="57" x14ac:dyDescent="0.45">
      <c r="B26" s="2" t="s">
        <v>1</v>
      </c>
      <c r="C26" s="3" t="s">
        <v>3</v>
      </c>
      <c r="D26" s="3" t="s">
        <v>4</v>
      </c>
      <c r="E26" s="3" t="s">
        <v>5</v>
      </c>
      <c r="F26" s="3" t="s">
        <v>11</v>
      </c>
      <c r="G26" s="3" t="s">
        <v>12</v>
      </c>
      <c r="H26" s="3" t="s">
        <v>8</v>
      </c>
    </row>
    <row r="27" spans="2:9" x14ac:dyDescent="0.45">
      <c r="B27" s="4">
        <v>45891</v>
      </c>
      <c r="C27" s="13">
        <v>9.5</v>
      </c>
      <c r="D27" s="7">
        <f>C27*7</f>
        <v>66.5</v>
      </c>
      <c r="E27" s="7">
        <f>D27*23</f>
        <v>1529.5</v>
      </c>
      <c r="F27" s="7">
        <f>E27*5</f>
        <v>7647.5</v>
      </c>
      <c r="G27" s="14">
        <v>0.15</v>
      </c>
      <c r="H27" s="9">
        <f>F27*G27</f>
        <v>1147.125</v>
      </c>
    </row>
    <row r="28" spans="2:9" x14ac:dyDescent="0.45">
      <c r="B28" s="4">
        <v>45898</v>
      </c>
      <c r="C28" s="6">
        <v>10.199999999999999</v>
      </c>
      <c r="D28" s="7">
        <f>C28*7</f>
        <v>71.399999999999991</v>
      </c>
      <c r="E28" s="7">
        <f>D28*23</f>
        <v>1642.1999999999998</v>
      </c>
      <c r="F28" s="7">
        <f>E28*5</f>
        <v>8211</v>
      </c>
      <c r="G28" s="14">
        <v>0.05</v>
      </c>
      <c r="H28" s="9">
        <f>F28*G28</f>
        <v>410.55</v>
      </c>
    </row>
    <row r="29" spans="2:9" x14ac:dyDescent="0.45">
      <c r="B29" s="4">
        <f>B28+7</f>
        <v>45905</v>
      </c>
      <c r="C29" s="6">
        <v>8</v>
      </c>
      <c r="D29" s="7">
        <f>C29*7</f>
        <v>56</v>
      </c>
      <c r="E29" s="7">
        <f>D29*23</f>
        <v>1288</v>
      </c>
      <c r="F29" s="7">
        <f>E29*5</f>
        <v>6440</v>
      </c>
      <c r="G29" s="14">
        <v>0.03</v>
      </c>
      <c r="H29" s="9">
        <f>F29*G29</f>
        <v>193.2</v>
      </c>
    </row>
    <row r="30" spans="2:9" x14ac:dyDescent="0.45">
      <c r="B30" s="4">
        <v>45914</v>
      </c>
      <c r="C30" s="6">
        <v>5.5</v>
      </c>
      <c r="D30" s="7">
        <f>C30*7</f>
        <v>38.5</v>
      </c>
      <c r="E30" s="7">
        <f>D30*23</f>
        <v>885.5</v>
      </c>
      <c r="F30" s="7">
        <f>E30*5</f>
        <v>4427.5</v>
      </c>
      <c r="G30" s="14">
        <v>0.1</v>
      </c>
      <c r="H30" s="9">
        <f>F30*G30</f>
        <v>442.75</v>
      </c>
    </row>
    <row r="31" spans="2:9" ht="14.65" thickBot="1" x14ac:dyDescent="0.5">
      <c r="B31" t="s">
        <v>9</v>
      </c>
      <c r="H31" s="12">
        <f>SUBTOTAL(109,Table69[Estimated BA.3.2 infections per week])</f>
        <v>2193.625</v>
      </c>
    </row>
    <row r="32" spans="2:9" ht="14.65" thickTop="1" x14ac:dyDescent="0.45"/>
  </sheetData>
  <pageMargins left="0.70866141732283472" right="0.70866141732283472" top="0.74803149606299213" bottom="0.74803149606299213" header="0.31496062992125984" footer="0.31496062992125984"/>
  <pageSetup paperSize="9" scale="78" orientation="portrait" horizont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Perth BA.3.2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Honey</dc:creator>
  <cp:lastModifiedBy>Mike Honey</cp:lastModifiedBy>
  <dcterms:created xsi:type="dcterms:W3CDTF">2025-11-09T01:16:20Z</dcterms:created>
  <dcterms:modified xsi:type="dcterms:W3CDTF">2025-12-12T20:31:50Z</dcterms:modified>
</cp:coreProperties>
</file>